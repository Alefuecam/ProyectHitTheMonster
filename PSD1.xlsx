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fu\IdeaProjects\Proyecto1SD\"/>
    </mc:Choice>
  </mc:AlternateContent>
  <xr:revisionPtr revIDLastSave="0" documentId="8_{E64C6614-BDF0-4FCC-BE2B-859FD9751349}" xr6:coauthVersionLast="47" xr6:coauthVersionMax="47" xr10:uidLastSave="{00000000-0000-0000-0000-000000000000}"/>
  <bookViews>
    <workbookView xWindow="-108" yWindow="-108" windowWidth="23256" windowHeight="12456" xr2:uid="{2C3D7C6A-399D-495A-986D-9C74C7174D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12" i="1"/>
  <c r="K42" i="1"/>
  <c r="K41" i="1"/>
  <c r="J42" i="1"/>
  <c r="J41" i="1"/>
  <c r="I42" i="1"/>
  <c r="I41" i="1"/>
  <c r="H42" i="1"/>
  <c r="H41" i="1"/>
  <c r="G42" i="1"/>
  <c r="G41" i="1"/>
  <c r="F42" i="1"/>
  <c r="F41" i="1"/>
  <c r="E42" i="1"/>
  <c r="E41" i="1"/>
  <c r="D42" i="1"/>
  <c r="D41" i="1"/>
  <c r="C42" i="1"/>
  <c r="C41" i="1"/>
  <c r="B42" i="1"/>
  <c r="B41" i="1"/>
  <c r="B26" i="1"/>
  <c r="O13" i="1"/>
  <c r="O12" i="1"/>
  <c r="M13" i="1"/>
  <c r="M12" i="1"/>
  <c r="K13" i="1"/>
  <c r="K12" i="1"/>
  <c r="I13" i="1"/>
  <c r="I12" i="1"/>
  <c r="G13" i="1"/>
  <c r="G12" i="1"/>
  <c r="E13" i="1"/>
  <c r="E12" i="1"/>
  <c r="D13" i="1"/>
  <c r="D12" i="1"/>
  <c r="C13" i="1"/>
  <c r="B13" i="1"/>
  <c r="B12" i="1"/>
</calcChain>
</file>

<file path=xl/sharedStrings.xml><?xml version="1.0" encoding="utf-8"?>
<sst xmlns="http://schemas.openxmlformats.org/spreadsheetml/2006/main" count="171" uniqueCount="89">
  <si>
    <t>n=50</t>
  </si>
  <si>
    <t>Prom</t>
  </si>
  <si>
    <t>desc</t>
  </si>
  <si>
    <t xml:space="preserve">n=50 </t>
  </si>
  <si>
    <t>exitos</t>
  </si>
  <si>
    <t>n=100</t>
  </si>
  <si>
    <t>82/100</t>
  </si>
  <si>
    <t>n=150</t>
  </si>
  <si>
    <t>LOGIN</t>
  </si>
  <si>
    <t>122/150</t>
  </si>
  <si>
    <t>142/150</t>
  </si>
  <si>
    <t>97/150</t>
  </si>
  <si>
    <t>140/150</t>
  </si>
  <si>
    <t>N=200</t>
  </si>
  <si>
    <t>176/200</t>
  </si>
  <si>
    <t>167/200</t>
  </si>
  <si>
    <t>175/200</t>
  </si>
  <si>
    <t>186/200</t>
  </si>
  <si>
    <t>145/200</t>
  </si>
  <si>
    <t>178/200</t>
  </si>
  <si>
    <t>161/200</t>
  </si>
  <si>
    <t>187/200</t>
  </si>
  <si>
    <t>190/200</t>
  </si>
  <si>
    <t>184/200</t>
  </si>
  <si>
    <t>n=250</t>
  </si>
  <si>
    <t>190/250</t>
  </si>
  <si>
    <t>176/250</t>
  </si>
  <si>
    <t>150/250</t>
  </si>
  <si>
    <t>221/250</t>
  </si>
  <si>
    <t>225/250</t>
  </si>
  <si>
    <t>223/250</t>
  </si>
  <si>
    <t>174/250</t>
  </si>
  <si>
    <t>197/250</t>
  </si>
  <si>
    <t>216/250</t>
  </si>
  <si>
    <t>n=300</t>
  </si>
  <si>
    <t>250/300</t>
  </si>
  <si>
    <t>258/300</t>
  </si>
  <si>
    <t>220/300</t>
  </si>
  <si>
    <t>223/300</t>
  </si>
  <si>
    <t>272/300</t>
  </si>
  <si>
    <t>210/300</t>
  </si>
  <si>
    <t>241/300</t>
  </si>
  <si>
    <t>234/300</t>
  </si>
  <si>
    <t>252/300</t>
  </si>
  <si>
    <t>n=350</t>
  </si>
  <si>
    <t>238/350</t>
  </si>
  <si>
    <t>322/350</t>
  </si>
  <si>
    <t>312/350</t>
  </si>
  <si>
    <t>337/350</t>
  </si>
  <si>
    <t>307/350</t>
  </si>
  <si>
    <t>275/350</t>
  </si>
  <si>
    <t>290/350</t>
  </si>
  <si>
    <t>315/350</t>
  </si>
  <si>
    <t>350/350</t>
  </si>
  <si>
    <t>339/350</t>
  </si>
  <si>
    <t>n=400</t>
  </si>
  <si>
    <t>288/400</t>
  </si>
  <si>
    <t>226/400</t>
  </si>
  <si>
    <t>243/400</t>
  </si>
  <si>
    <t>237/400</t>
  </si>
  <si>
    <t>363/400</t>
  </si>
  <si>
    <t>321/400</t>
  </si>
  <si>
    <t>295/400</t>
  </si>
  <si>
    <t>279/400</t>
  </si>
  <si>
    <t>290/400</t>
  </si>
  <si>
    <t>n=450</t>
  </si>
  <si>
    <t>255/450</t>
  </si>
  <si>
    <t>312/450</t>
  </si>
  <si>
    <t>316/450</t>
  </si>
  <si>
    <t>272/450</t>
  </si>
  <si>
    <t>419/450</t>
  </si>
  <si>
    <t>330/450</t>
  </si>
  <si>
    <t>403/450</t>
  </si>
  <si>
    <t>202/450</t>
  </si>
  <si>
    <t>358/450</t>
  </si>
  <si>
    <t>n=500</t>
  </si>
  <si>
    <t>339/500</t>
  </si>
  <si>
    <t>321/500</t>
  </si>
  <si>
    <t>288/500</t>
  </si>
  <si>
    <t>275/500</t>
  </si>
  <si>
    <t>300/500</t>
  </si>
  <si>
    <t>236/500</t>
  </si>
  <si>
    <t>323/500</t>
  </si>
  <si>
    <t>241/500</t>
  </si>
  <si>
    <t>314/500</t>
  </si>
  <si>
    <t>305/500</t>
  </si>
  <si>
    <t>JUEGO</t>
  </si>
  <si>
    <t>n=200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</si>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</sst>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Numero</a:t>
            </a:r>
            <a:r>
              <a:rPr lang="es-ES" baseline="0"/>
              <a:t> de clientes vs % de exitos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Hoja1!$E$16:$E$25</c:f>
              <c:numCache>
                <c:formatCode>General</c:formatCode>
                <c:ptCount val="10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</c:numCache>
            </c:numRef>
          </c:xVal>
          <c:yVal>
            <c:numRef>
              <c:f>Hoja1!$F$16:$F$25</c:f>
              <c:numCache>
                <c:formatCode>General</c:formatCode>
                <c:ptCount val="10"/>
                <c:pt idx="0">
                  <c:v>59</c:v>
                </c:pt>
                <c:pt idx="1">
                  <c:v>70.64</c:v>
                </c:pt>
                <c:pt idx="2">
                  <c:v>70.92</c:v>
                </c:pt>
                <c:pt idx="3">
                  <c:v>83.66</c:v>
                </c:pt>
                <c:pt idx="4">
                  <c:v>79.430000000000007</c:v>
                </c:pt>
                <c:pt idx="5">
                  <c:v>79.52</c:v>
                </c:pt>
                <c:pt idx="6">
                  <c:v>87.45</c:v>
                </c:pt>
                <c:pt idx="7">
                  <c:v>93.4</c:v>
                </c:pt>
                <c:pt idx="8">
                  <c:v>98.2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1-46DA-A3AF-35E0AC558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61568"/>
        <c:axId val="1722268288"/>
      </c:scatterChart>
      <c:valAx>
        <c:axId val="172226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Numero</a:t>
                </a:r>
                <a:r>
                  <a:rPr lang="es-ES" baseline="0"/>
                  <a:t> clientes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8288"/>
        <c:crosses val="autoZero"/>
        <c:crossBetween val="midCat"/>
      </c:valAx>
      <c:valAx>
        <c:axId val="17222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Porcentaje de login exitosos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vs numero de clientes (Juego)</a:t>
            </a:r>
          </a:p>
        </c:rich>
      </c:tx>
      <c:layout>
        <c:manualLayout>
          <c:xMode val="edge"/>
          <c:yMode val="edge"/>
          <c:x val="0.1803401137357830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Hoja1!$B$45:$B$54</c:f>
              <c:numCache>
                <c:formatCode>General</c:formatCode>
                <c:ptCount val="10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</c:numCache>
            </c:numRef>
          </c:xVal>
          <c:yVal>
            <c:numRef>
              <c:f>Hoja1!$C$45:$C$54</c:f>
              <c:numCache>
                <c:formatCode>General</c:formatCode>
                <c:ptCount val="10"/>
                <c:pt idx="0">
                  <c:v>1095840</c:v>
                </c:pt>
                <c:pt idx="1">
                  <c:v>980650</c:v>
                </c:pt>
                <c:pt idx="2">
                  <c:v>1030020</c:v>
                </c:pt>
                <c:pt idx="3">
                  <c:v>1130100</c:v>
                </c:pt>
                <c:pt idx="4">
                  <c:v>1246780</c:v>
                </c:pt>
                <c:pt idx="5">
                  <c:v>1081450</c:v>
                </c:pt>
                <c:pt idx="6">
                  <c:v>1107450</c:v>
                </c:pt>
                <c:pt idx="7">
                  <c:v>1012820</c:v>
                </c:pt>
                <c:pt idx="8">
                  <c:v>999640</c:v>
                </c:pt>
                <c:pt idx="9">
                  <c:v>983300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6-462E-B6DE-DC4185680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39088"/>
        <c:axId val="142942448"/>
      </c:scatterChart>
      <c:valAx>
        <c:axId val="14293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Numero</a:t>
                </a:r>
                <a:r>
                  <a:rPr lang="es-ES" baseline="0"/>
                  <a:t> de clientes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942448"/>
        <c:crosses val="autoZero"/>
        <c:crossBetween val="midCat"/>
      </c:valAx>
      <c:valAx>
        <c:axId val="1429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Promedio</a:t>
                </a:r>
                <a:r>
                  <a:rPr lang="es-ES" baseline="0"/>
                  <a:t> respuesta en ns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93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Desviacion</a:t>
            </a:r>
            <a:r>
              <a:rPr lang="es-ES" baseline="0"/>
              <a:t> estandar vs numero de clientes (Juego)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Hoja1!$B$45:$B$54</c:f>
              <c:numCache>
                <c:formatCode>General</c:formatCode>
                <c:ptCount val="10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</c:numCache>
            </c:numRef>
          </c:xVal>
          <c:yVal>
            <c:numRef>
              <c:f>Hoja1!$D$45:$D$54</c:f>
              <c:numCache>
                <c:formatCode>General</c:formatCode>
                <c:ptCount val="10"/>
                <c:pt idx="0">
                  <c:v>769794.79399999999</c:v>
                </c:pt>
                <c:pt idx="1">
                  <c:v>722643.48100000003</c:v>
                </c:pt>
                <c:pt idx="2">
                  <c:v>598704.49</c:v>
                </c:pt>
                <c:pt idx="3">
                  <c:v>661908.61600000004</c:v>
                </c:pt>
                <c:pt idx="4">
                  <c:v>950473.56499999994</c:v>
                </c:pt>
                <c:pt idx="5">
                  <c:v>669092.54200000002</c:v>
                </c:pt>
                <c:pt idx="6">
                  <c:v>744691.49100000004</c:v>
                </c:pt>
                <c:pt idx="7">
                  <c:v>544931.35100000002</c:v>
                </c:pt>
                <c:pt idx="8">
                  <c:v>579443.35199999996</c:v>
                </c:pt>
                <c:pt idx="9">
                  <c:v>561808.34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F-459A-9CEA-6EE4EE46C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59728"/>
        <c:axId val="1722267808"/>
      </c:scatterChart>
      <c:valAx>
        <c:axId val="14295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Numero</a:t>
                </a:r>
                <a:r>
                  <a:rPr lang="es-ES" baseline="0"/>
                  <a:t> de clientes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7808"/>
        <c:crosses val="autoZero"/>
        <c:crossBetween val="midCat"/>
      </c:valAx>
      <c:valAx>
        <c:axId val="17222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Desviaciones</a:t>
                </a:r>
                <a:r>
                  <a:rPr lang="es-ES" baseline="0"/>
                  <a:t> estandar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95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vs clientes (Login)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Hoja1!$E$16:$E$25</c:f>
              <c:numCache>
                <c:formatCode>General</c:formatCode>
                <c:ptCount val="10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</c:numCache>
            </c:numRef>
          </c:xVal>
          <c:yVal>
            <c:numRef>
              <c:f>Hoja1!$G$16:$G$25</c:f>
              <c:numCache>
                <c:formatCode>General</c:formatCode>
                <c:ptCount val="10"/>
                <c:pt idx="0">
                  <c:v>70384500</c:v>
                </c:pt>
                <c:pt idx="1">
                  <c:v>62483120</c:v>
                </c:pt>
                <c:pt idx="2">
                  <c:v>46450120</c:v>
                </c:pt>
                <c:pt idx="3">
                  <c:v>36515650</c:v>
                </c:pt>
                <c:pt idx="4">
                  <c:v>27873910</c:v>
                </c:pt>
                <c:pt idx="5">
                  <c:v>20873960</c:v>
                </c:pt>
                <c:pt idx="6">
                  <c:v>17533310</c:v>
                </c:pt>
                <c:pt idx="7">
                  <c:v>14079640</c:v>
                </c:pt>
                <c:pt idx="8">
                  <c:v>10452000</c:v>
                </c:pt>
                <c:pt idx="9">
                  <c:v>4467090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1-4AEB-ADB9-805E883B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63488"/>
        <c:axId val="1713370960"/>
      </c:scatterChart>
      <c:valAx>
        <c:axId val="17222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3370960"/>
        <c:crosses val="autoZero"/>
        <c:crossBetween val="midCat"/>
      </c:valAx>
      <c:valAx>
        <c:axId val="1713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Desviacion</a:t>
            </a:r>
            <a:r>
              <a:rPr lang="es-ES" baseline="0"/>
              <a:t> estandar vs numero de clientes (Login)</a:t>
            </a:r>
            <a:endParaRPr lang="es-ES"/>
          </a:p>
        </c:rich>
      </c:tx>
      <c:layout>
        <c:manualLayout>
          <c:xMode val="edge"/>
          <c:yMode val="edge"/>
          <c:x val="0.105097112860892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Hoja1!$E$16:$E$25</c:f>
              <c:numCache>
                <c:formatCode>General</c:formatCode>
                <c:ptCount val="10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</c:numCache>
            </c:numRef>
          </c:xVal>
          <c:yVal>
            <c:numRef>
              <c:f>Hoja1!$H$16:$H$25</c:f>
              <c:numCache>
                <c:formatCode>General</c:formatCode>
                <c:ptCount val="10"/>
                <c:pt idx="0">
                  <c:v>10249052.6</c:v>
                </c:pt>
                <c:pt idx="1">
                  <c:v>15746573.4</c:v>
                </c:pt>
                <c:pt idx="2">
                  <c:v>11570616</c:v>
                </c:pt>
                <c:pt idx="3">
                  <c:v>7576672.8399999999</c:v>
                </c:pt>
                <c:pt idx="4">
                  <c:v>4091633.59</c:v>
                </c:pt>
                <c:pt idx="5">
                  <c:v>1205923.8999999999</c:v>
                </c:pt>
                <c:pt idx="6">
                  <c:v>839246.48800000001</c:v>
                </c:pt>
                <c:pt idx="7">
                  <c:v>1218440.31</c:v>
                </c:pt>
                <c:pt idx="8">
                  <c:v>489622.984</c:v>
                </c:pt>
                <c:pt idx="9">
                  <c:v>466491.24200000003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2-451E-8B30-36EC65DF6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63488"/>
        <c:axId val="1722269728"/>
      </c:scatterChart>
      <c:valAx>
        <c:axId val="17222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9728"/>
        <c:crosses val="autoZero"/>
        <c:crossBetween val="midCat"/>
      </c:valAx>
      <c:valAx>
        <c:axId val="172226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6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14</xdr:row>
      <xdr:rowOff>148590</xdr:rowOff>
    </xdr:from>
    <xdr:to>
      <xdr:col>13</xdr:col>
      <xdr:colOff>662940</xdr:colOff>
      <xdr:row>29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F825F8-1725-4782-C958-EE2D5573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47</xdr:row>
      <xdr:rowOff>80010</xdr:rowOff>
    </xdr:from>
    <xdr:to>
      <xdr:col>9</xdr:col>
      <xdr:colOff>624840</xdr:colOff>
      <xdr:row>62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CC1CFF-A164-FD4E-4F94-2269F3FBD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777240</xdr:colOff>
      <xdr:row>47</xdr:row>
      <xdr:rowOff>95250</xdr:rowOff>
    </xdr:from>
    <xdr:to>
      <xdr:col>15</xdr:col>
      <xdr:colOff>594360</xdr:colOff>
      <xdr:row>62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50882-2788-9C00-74C9-0E21CD88C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758190</xdr:colOff>
      <xdr:row>14</xdr:row>
      <xdr:rowOff>72390</xdr:rowOff>
    </xdr:from>
    <xdr:to>
      <xdr:col>19</xdr:col>
      <xdr:colOff>575310</xdr:colOff>
      <xdr:row>29</xdr:row>
      <xdr:rowOff>72390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E67B1-9F0D-620D-EC57-45D05C5CB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171450</xdr:colOff>
      <xdr:row>30</xdr:row>
      <xdr:rowOff>57150</xdr:rowOff>
    </xdr:from>
    <xdr:to>
      <xdr:col>16</xdr:col>
      <xdr:colOff>781050</xdr:colOff>
      <xdr:row>45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5DBA17-6CEB-ED2B-F4C8-E997F4CE6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8E53-3F32-4207-83FC-93F6E487F253}">
  <dimension ref="A1:P54"/>
  <sheetViews>
    <sheetView tabSelected="1" topLeftCell="F28" workbookViewId="0">
      <selection activeCell="R47" sqref="R47"/>
    </sheetView>
  </sheetViews>
  <sheetFormatPr baseColWidth="10" defaultRowHeight="14.4" x14ac:dyDescent="0.3"/>
  <sheetData>
    <row r="1" spans="1:16" x14ac:dyDescent="0.3">
      <c r="A1" t="s">
        <v>8</v>
      </c>
      <c r="B1" t="s">
        <v>3</v>
      </c>
      <c r="C1" t="s">
        <v>5</v>
      </c>
      <c r="D1" t="s">
        <v>7</v>
      </c>
      <c r="E1" t="s">
        <v>13</v>
      </c>
      <c r="G1" t="s">
        <v>24</v>
      </c>
      <c r="I1" t="s">
        <v>34</v>
      </c>
      <c r="K1" t="s">
        <v>44</v>
      </c>
      <c r="M1" t="s">
        <v>55</v>
      </c>
      <c r="O1" t="s">
        <v>65</v>
      </c>
    </row>
    <row r="2" spans="1:16" x14ac:dyDescent="0.3">
      <c r="B2">
        <v>4089200</v>
      </c>
      <c r="C2">
        <v>9960100</v>
      </c>
      <c r="D2">
        <v>16827000</v>
      </c>
      <c r="E2">
        <v>17158400</v>
      </c>
      <c r="F2" t="s">
        <v>14</v>
      </c>
      <c r="G2">
        <v>20264100</v>
      </c>
      <c r="H2" t="s">
        <v>25</v>
      </c>
      <c r="I2">
        <v>24749600</v>
      </c>
      <c r="J2" t="s">
        <v>38</v>
      </c>
      <c r="K2">
        <v>28239300</v>
      </c>
      <c r="L2" t="s">
        <v>54</v>
      </c>
      <c r="M2">
        <v>34116300</v>
      </c>
      <c r="N2" t="s">
        <v>56</v>
      </c>
      <c r="O2">
        <v>59900000</v>
      </c>
      <c r="P2" t="s">
        <v>66</v>
      </c>
    </row>
    <row r="3" spans="1:16" x14ac:dyDescent="0.3">
      <c r="B3">
        <v>4836800</v>
      </c>
      <c r="C3">
        <v>10130600</v>
      </c>
      <c r="D3">
        <v>15069700</v>
      </c>
      <c r="E3">
        <v>17019800</v>
      </c>
      <c r="F3" t="s">
        <v>15</v>
      </c>
      <c r="G3">
        <v>23108400</v>
      </c>
      <c r="H3" t="s">
        <v>26</v>
      </c>
      <c r="I3">
        <v>25813800</v>
      </c>
      <c r="J3" t="s">
        <v>35</v>
      </c>
      <c r="K3">
        <v>39051200</v>
      </c>
      <c r="L3" t="s">
        <v>46</v>
      </c>
      <c r="M3">
        <v>51547200</v>
      </c>
      <c r="N3" t="s">
        <v>57</v>
      </c>
      <c r="O3">
        <v>76514400</v>
      </c>
      <c r="P3" t="s">
        <v>67</v>
      </c>
    </row>
    <row r="4" spans="1:16" x14ac:dyDescent="0.3">
      <c r="B4">
        <v>3777700</v>
      </c>
      <c r="C4">
        <v>9967600</v>
      </c>
      <c r="D4">
        <v>13673000</v>
      </c>
      <c r="E4">
        <v>16864500</v>
      </c>
      <c r="F4" t="s">
        <v>16</v>
      </c>
      <c r="G4">
        <v>21905700</v>
      </c>
      <c r="H4" t="s">
        <v>28</v>
      </c>
      <c r="I4">
        <v>29211000</v>
      </c>
      <c r="J4" t="s">
        <v>36</v>
      </c>
      <c r="K4">
        <v>27957800</v>
      </c>
      <c r="L4" t="s">
        <v>51</v>
      </c>
      <c r="M4">
        <v>58785600</v>
      </c>
      <c r="N4" t="s">
        <v>58</v>
      </c>
      <c r="O4">
        <v>47234500</v>
      </c>
      <c r="P4" t="s">
        <v>68</v>
      </c>
    </row>
    <row r="5" spans="1:16" x14ac:dyDescent="0.3">
      <c r="B5">
        <v>4387200</v>
      </c>
      <c r="C5">
        <v>10181300</v>
      </c>
      <c r="D5">
        <v>14049200</v>
      </c>
      <c r="E5">
        <v>18547500</v>
      </c>
      <c r="F5" t="s">
        <v>17</v>
      </c>
      <c r="G5">
        <v>20671500</v>
      </c>
      <c r="H5" t="s">
        <v>27</v>
      </c>
      <c r="I5">
        <v>25403700</v>
      </c>
      <c r="J5" t="s">
        <v>37</v>
      </c>
      <c r="K5">
        <v>35616000</v>
      </c>
      <c r="L5" t="s">
        <v>52</v>
      </c>
      <c r="M5">
        <v>66944400</v>
      </c>
      <c r="N5" t="s">
        <v>59</v>
      </c>
      <c r="O5">
        <v>52261700</v>
      </c>
      <c r="P5" t="s">
        <v>67</v>
      </c>
    </row>
    <row r="6" spans="1:16" x14ac:dyDescent="0.3">
      <c r="B6">
        <v>4384400</v>
      </c>
      <c r="C6">
        <v>11303100</v>
      </c>
      <c r="D6">
        <v>13783800</v>
      </c>
      <c r="E6">
        <v>17033300</v>
      </c>
      <c r="F6" t="s">
        <v>18</v>
      </c>
      <c r="G6">
        <v>20252600</v>
      </c>
      <c r="H6" t="s">
        <v>29</v>
      </c>
      <c r="I6">
        <v>29999800</v>
      </c>
      <c r="J6" t="s">
        <v>38</v>
      </c>
      <c r="K6">
        <v>30502700</v>
      </c>
      <c r="L6" t="s">
        <v>47</v>
      </c>
      <c r="M6">
        <v>41841000</v>
      </c>
      <c r="N6" t="s">
        <v>60</v>
      </c>
      <c r="O6">
        <v>74215600</v>
      </c>
      <c r="P6" t="s">
        <v>69</v>
      </c>
    </row>
    <row r="7" spans="1:16" x14ac:dyDescent="0.3">
      <c r="B7">
        <v>5020600</v>
      </c>
      <c r="C7">
        <v>10617800</v>
      </c>
      <c r="D7">
        <v>12452900</v>
      </c>
      <c r="E7">
        <v>17759100</v>
      </c>
      <c r="F7" t="s">
        <v>19</v>
      </c>
      <c r="G7">
        <v>20567100</v>
      </c>
      <c r="H7" t="s">
        <v>30</v>
      </c>
      <c r="I7">
        <v>37000800</v>
      </c>
      <c r="J7" t="s">
        <v>39</v>
      </c>
      <c r="K7">
        <v>34674800</v>
      </c>
      <c r="L7" t="s">
        <v>48</v>
      </c>
      <c r="M7">
        <v>43567200</v>
      </c>
      <c r="N7" t="s">
        <v>61</v>
      </c>
      <c r="O7">
        <v>54639600</v>
      </c>
      <c r="P7" t="s">
        <v>70</v>
      </c>
    </row>
    <row r="8" spans="1:16" x14ac:dyDescent="0.3">
      <c r="B8">
        <v>4099100</v>
      </c>
      <c r="C8">
        <v>10308800</v>
      </c>
      <c r="D8">
        <v>14640500</v>
      </c>
      <c r="E8">
        <v>16091900</v>
      </c>
      <c r="F8" t="s">
        <v>20</v>
      </c>
      <c r="G8">
        <v>20429200</v>
      </c>
      <c r="H8" t="s">
        <v>31</v>
      </c>
      <c r="I8">
        <v>26072700</v>
      </c>
      <c r="J8" t="s">
        <v>40</v>
      </c>
      <c r="K8">
        <v>49827600</v>
      </c>
      <c r="L8" t="s">
        <v>47</v>
      </c>
      <c r="M8">
        <v>54130800</v>
      </c>
      <c r="N8" t="s">
        <v>62</v>
      </c>
      <c r="O8">
        <v>42701200</v>
      </c>
      <c r="P8" t="s">
        <v>71</v>
      </c>
    </row>
    <row r="9" spans="1:16" x14ac:dyDescent="0.3">
      <c r="B9">
        <v>4911300</v>
      </c>
      <c r="C9">
        <v>10956800</v>
      </c>
      <c r="D9">
        <v>13337500</v>
      </c>
      <c r="E9">
        <v>18654000</v>
      </c>
      <c r="F9" t="s">
        <v>21</v>
      </c>
      <c r="G9">
        <v>18705300</v>
      </c>
      <c r="H9" t="s">
        <v>32</v>
      </c>
      <c r="I9">
        <v>31521000</v>
      </c>
      <c r="J9" t="s">
        <v>41</v>
      </c>
      <c r="K9">
        <v>30965600</v>
      </c>
      <c r="L9" t="s">
        <v>49</v>
      </c>
      <c r="M9">
        <v>35446300</v>
      </c>
      <c r="N9" t="s">
        <v>63</v>
      </c>
      <c r="O9">
        <v>88374000</v>
      </c>
      <c r="P9" t="s">
        <v>72</v>
      </c>
    </row>
    <row r="10" spans="1:16" x14ac:dyDescent="0.3">
      <c r="B10">
        <v>5094600</v>
      </c>
      <c r="C10">
        <v>11026100</v>
      </c>
      <c r="D10">
        <v>13061900</v>
      </c>
      <c r="E10">
        <v>18399600</v>
      </c>
      <c r="F10" t="s">
        <v>22</v>
      </c>
      <c r="G10">
        <v>21985900</v>
      </c>
      <c r="H10" t="s">
        <v>33</v>
      </c>
      <c r="I10">
        <v>23640400</v>
      </c>
      <c r="J10" t="s">
        <v>42</v>
      </c>
      <c r="K10">
        <v>45431600</v>
      </c>
      <c r="L10" t="s">
        <v>53</v>
      </c>
      <c r="M10">
        <v>47301500</v>
      </c>
      <c r="N10" t="s">
        <v>64</v>
      </c>
      <c r="O10">
        <v>79022900</v>
      </c>
      <c r="P10" t="s">
        <v>73</v>
      </c>
    </row>
    <row r="11" spans="1:16" x14ac:dyDescent="0.3">
      <c r="B11">
        <v>4070000</v>
      </c>
      <c r="C11">
        <v>10067800</v>
      </c>
      <c r="D11">
        <v>13900900</v>
      </c>
      <c r="E11">
        <v>17805000</v>
      </c>
      <c r="F11" t="s">
        <v>23</v>
      </c>
      <c r="G11">
        <v>20849800</v>
      </c>
      <c r="H11" t="s">
        <v>33</v>
      </c>
      <c r="I11">
        <v>25326300</v>
      </c>
      <c r="J11" t="s">
        <v>43</v>
      </c>
      <c r="K11">
        <v>42889900</v>
      </c>
      <c r="L11" t="s">
        <v>50</v>
      </c>
      <c r="M11">
        <v>30820900</v>
      </c>
      <c r="N11" t="s">
        <v>62</v>
      </c>
      <c r="O11">
        <v>49967300</v>
      </c>
      <c r="P11" t="s">
        <v>74</v>
      </c>
    </row>
    <row r="12" spans="1:16" x14ac:dyDescent="0.3">
      <c r="A12" t="s">
        <v>1</v>
      </c>
      <c r="B12" s="1">
        <f>AVERAGE(B2:B11)</f>
        <v>4467090</v>
      </c>
      <c r="C12" s="1">
        <f>AVERAGE(C2:C11)</f>
        <v>10452000</v>
      </c>
      <c r="D12" s="1">
        <f>AVERAGE(D2:D11)</f>
        <v>14079640</v>
      </c>
      <c r="E12" s="1">
        <f>AVERAGE(E2:E11)</f>
        <v>17533310</v>
      </c>
      <c r="G12" s="1">
        <f>AVERAGE(G2:G11)</f>
        <v>20873960</v>
      </c>
      <c r="I12" s="1">
        <f>AVERAGE(I2:I11)</f>
        <v>27873910</v>
      </c>
      <c r="K12" s="1">
        <f>AVERAGE(K2:K11)</f>
        <v>36515650</v>
      </c>
      <c r="M12" s="1">
        <f>AVERAGE(M2:M11)</f>
        <v>46450120</v>
      </c>
      <c r="O12" s="1">
        <f>AVERAGE(O2:O11)</f>
        <v>62483120</v>
      </c>
    </row>
    <row r="13" spans="1:16" x14ac:dyDescent="0.3">
      <c r="A13" t="s">
        <v>2</v>
      </c>
      <c r="B13">
        <f>_xlfn.STDEV.S(B2:B11)</f>
        <v>466491.24190897495</v>
      </c>
      <c r="C13">
        <f>_xlfn.STDEV.S(C2:C11)</f>
        <v>489622.98420995992</v>
      </c>
      <c r="D13">
        <f>_xlfn.STDEV.S(D2:D11)</f>
        <v>1218440.3146828508</v>
      </c>
      <c r="E13">
        <f>_xlfn.STDEV.S(E2:E11)</f>
        <v>839246.4880276036</v>
      </c>
      <c r="G13">
        <f>_xlfn.STDEV.S(G2:G11)</f>
        <v>1205923.8986492197</v>
      </c>
      <c r="I13">
        <f>_xlfn.STDEV.S(I2:I11)</f>
        <v>4091633.5942858923</v>
      </c>
      <c r="K13">
        <f>_xlfn.STDEV.S(K2:K11)</f>
        <v>7576672.8374003321</v>
      </c>
      <c r="M13">
        <f>_xlfn.STDEV.S(M2:M11)</f>
        <v>11570616.042064868</v>
      </c>
      <c r="O13">
        <f>_xlfn.STDEV.S(O2:O11)</f>
        <v>15746573.376156054</v>
      </c>
    </row>
    <row r="14" spans="1:16" x14ac:dyDescent="0.3">
      <c r="A14" t="s">
        <v>4</v>
      </c>
      <c r="B14" s="2">
        <v>1</v>
      </c>
      <c r="C14" s="3">
        <v>0.98199999999999998</v>
      </c>
      <c r="D14" s="3">
        <v>0.93400000000000005</v>
      </c>
      <c r="E14" s="3">
        <v>0.87450000000000006</v>
      </c>
      <c r="G14" s="3">
        <v>0.79520000000000002</v>
      </c>
      <c r="I14" s="3">
        <v>0.79430000000000001</v>
      </c>
      <c r="K14" s="3">
        <v>0.83660000000000001</v>
      </c>
      <c r="M14" s="3">
        <v>0.70920000000000005</v>
      </c>
      <c r="O14" s="3">
        <v>0.70640000000000003</v>
      </c>
    </row>
    <row r="15" spans="1:16" x14ac:dyDescent="0.3">
      <c r="B15" t="s">
        <v>75</v>
      </c>
    </row>
    <row r="16" spans="1:16" x14ac:dyDescent="0.3">
      <c r="B16">
        <v>69509300</v>
      </c>
      <c r="C16" t="s">
        <v>76</v>
      </c>
      <c r="E16">
        <v>500</v>
      </c>
      <c r="F16">
        <v>59</v>
      </c>
      <c r="G16">
        <v>70384500</v>
      </c>
      <c r="H16">
        <v>10249052.6</v>
      </c>
    </row>
    <row r="17" spans="1:11" x14ac:dyDescent="0.3">
      <c r="B17">
        <v>64706800</v>
      </c>
      <c r="C17" t="s">
        <v>77</v>
      </c>
      <c r="E17">
        <v>450</v>
      </c>
      <c r="F17">
        <v>70.64</v>
      </c>
      <c r="G17">
        <v>62483120</v>
      </c>
      <c r="H17">
        <v>15746573.4</v>
      </c>
    </row>
    <row r="18" spans="1:11" x14ac:dyDescent="0.3">
      <c r="B18">
        <v>59310700</v>
      </c>
      <c r="C18" t="s">
        <v>78</v>
      </c>
      <c r="E18">
        <v>400</v>
      </c>
      <c r="F18">
        <v>70.92</v>
      </c>
      <c r="G18">
        <v>46450120</v>
      </c>
      <c r="H18">
        <v>11570616</v>
      </c>
    </row>
    <row r="19" spans="1:11" x14ac:dyDescent="0.3">
      <c r="B19">
        <v>65887600</v>
      </c>
      <c r="C19" t="s">
        <v>79</v>
      </c>
      <c r="E19">
        <v>350</v>
      </c>
      <c r="F19">
        <v>83.66</v>
      </c>
      <c r="G19">
        <v>36515650</v>
      </c>
      <c r="H19">
        <v>7576672.8399999999</v>
      </c>
    </row>
    <row r="20" spans="1:11" x14ac:dyDescent="0.3">
      <c r="B20">
        <v>78175200</v>
      </c>
      <c r="C20" t="s">
        <v>80</v>
      </c>
      <c r="E20">
        <v>300</v>
      </c>
      <c r="F20">
        <v>79.430000000000007</v>
      </c>
      <c r="G20">
        <v>27873910</v>
      </c>
      <c r="H20">
        <v>4091633.59</v>
      </c>
    </row>
    <row r="21" spans="1:11" x14ac:dyDescent="0.3">
      <c r="B21">
        <v>65498800</v>
      </c>
      <c r="C21" t="s">
        <v>81</v>
      </c>
      <c r="E21">
        <v>250</v>
      </c>
      <c r="F21">
        <v>79.52</v>
      </c>
      <c r="G21">
        <v>20873960</v>
      </c>
      <c r="H21">
        <v>1205923.8999999999</v>
      </c>
    </row>
    <row r="22" spans="1:11" x14ac:dyDescent="0.3">
      <c r="B22">
        <v>71657800</v>
      </c>
      <c r="C22" t="s">
        <v>82</v>
      </c>
      <c r="E22">
        <v>200</v>
      </c>
      <c r="F22">
        <v>87.45</v>
      </c>
      <c r="G22">
        <v>17533310</v>
      </c>
      <c r="H22">
        <v>839246.48800000001</v>
      </c>
    </row>
    <row r="23" spans="1:11" x14ac:dyDescent="0.3">
      <c r="B23">
        <v>86805500</v>
      </c>
      <c r="C23" t="s">
        <v>83</v>
      </c>
      <c r="E23">
        <v>150</v>
      </c>
      <c r="F23">
        <v>93.4</v>
      </c>
      <c r="G23">
        <v>14079640</v>
      </c>
      <c r="H23">
        <v>1218440.31</v>
      </c>
    </row>
    <row r="24" spans="1:11" x14ac:dyDescent="0.3">
      <c r="B24">
        <v>85508700</v>
      </c>
      <c r="C24" t="s">
        <v>84</v>
      </c>
      <c r="E24">
        <v>100</v>
      </c>
      <c r="F24">
        <v>98.2</v>
      </c>
      <c r="G24">
        <v>10452000</v>
      </c>
      <c r="H24">
        <v>489622.984</v>
      </c>
    </row>
    <row r="25" spans="1:11" x14ac:dyDescent="0.3">
      <c r="B25">
        <v>56784600</v>
      </c>
      <c r="C25" t="s">
        <v>85</v>
      </c>
      <c r="E25">
        <v>50</v>
      </c>
      <c r="F25">
        <v>100</v>
      </c>
      <c r="G25">
        <v>4467090</v>
      </c>
      <c r="H25">
        <v>466491.24200000003</v>
      </c>
    </row>
    <row r="26" spans="1:11" x14ac:dyDescent="0.3">
      <c r="B26" s="1">
        <f>AVERAGE(B16:B25)</f>
        <v>70384500</v>
      </c>
    </row>
    <row r="27" spans="1:11" x14ac:dyDescent="0.3">
      <c r="B27">
        <f>_xlfn.STDEV.S(B16:B25)</f>
        <v>10249052.633184092</v>
      </c>
    </row>
    <row r="28" spans="1:11" x14ac:dyDescent="0.3">
      <c r="B28" s="2">
        <v>0.58840000000000003</v>
      </c>
    </row>
    <row r="30" spans="1:11" x14ac:dyDescent="0.3">
      <c r="A30" t="s">
        <v>86</v>
      </c>
      <c r="B30" t="s">
        <v>0</v>
      </c>
      <c r="C30" t="s">
        <v>5</v>
      </c>
      <c r="D30" t="s">
        <v>7</v>
      </c>
      <c r="E30" t="s">
        <v>87</v>
      </c>
      <c r="F30" t="s">
        <v>24</v>
      </c>
      <c r="G30" t="s">
        <v>34</v>
      </c>
      <c r="H30" t="s">
        <v>44</v>
      </c>
      <c r="I30" t="s">
        <v>55</v>
      </c>
      <c r="J30" t="s">
        <v>65</v>
      </c>
      <c r="K30" t="s">
        <v>75</v>
      </c>
    </row>
    <row r="31" spans="1:11" x14ac:dyDescent="0.3">
      <c r="B31">
        <v>2567400</v>
      </c>
      <c r="C31">
        <v>2599100</v>
      </c>
      <c r="D31">
        <v>2519000</v>
      </c>
      <c r="E31">
        <v>3193400</v>
      </c>
      <c r="F31">
        <v>2970900</v>
      </c>
      <c r="G31">
        <v>3905600</v>
      </c>
      <c r="H31">
        <v>2817700</v>
      </c>
      <c r="I31">
        <v>2673100</v>
      </c>
      <c r="J31">
        <v>3027500</v>
      </c>
      <c r="K31">
        <v>3261700</v>
      </c>
    </row>
    <row r="32" spans="1:11" x14ac:dyDescent="0.3">
      <c r="B32">
        <v>826600</v>
      </c>
      <c r="C32">
        <v>770900</v>
      </c>
      <c r="D32">
        <v>1070700</v>
      </c>
      <c r="E32">
        <v>1076700</v>
      </c>
      <c r="F32">
        <v>956100</v>
      </c>
      <c r="G32">
        <v>1126900</v>
      </c>
      <c r="H32">
        <v>651800</v>
      </c>
      <c r="I32">
        <v>689200</v>
      </c>
      <c r="J32">
        <v>739500</v>
      </c>
      <c r="K32">
        <v>680600</v>
      </c>
    </row>
    <row r="33" spans="2:13" x14ac:dyDescent="0.3">
      <c r="B33">
        <v>800000</v>
      </c>
      <c r="C33">
        <v>688400</v>
      </c>
      <c r="D33">
        <v>1059200</v>
      </c>
      <c r="E33">
        <v>913500</v>
      </c>
      <c r="F33">
        <v>837200</v>
      </c>
      <c r="G33">
        <v>1030900</v>
      </c>
      <c r="H33">
        <v>711200</v>
      </c>
      <c r="I33">
        <v>742600</v>
      </c>
      <c r="J33">
        <v>705500</v>
      </c>
      <c r="K33">
        <v>946000</v>
      </c>
    </row>
    <row r="34" spans="2:13" x14ac:dyDescent="0.3">
      <c r="B34">
        <v>833800</v>
      </c>
      <c r="C34">
        <v>734600</v>
      </c>
      <c r="D34">
        <v>738000</v>
      </c>
      <c r="E34">
        <v>729200</v>
      </c>
      <c r="F34">
        <v>928000</v>
      </c>
      <c r="G34">
        <v>741600</v>
      </c>
      <c r="H34">
        <v>996300</v>
      </c>
      <c r="I34">
        <v>716100</v>
      </c>
      <c r="J34">
        <v>715900</v>
      </c>
      <c r="K34">
        <v>744400</v>
      </c>
    </row>
    <row r="35" spans="2:13" x14ac:dyDescent="0.3">
      <c r="B35">
        <v>827900</v>
      </c>
      <c r="C35">
        <v>1053500</v>
      </c>
      <c r="D35">
        <v>750700</v>
      </c>
      <c r="E35">
        <v>887300</v>
      </c>
      <c r="F35">
        <v>761000</v>
      </c>
      <c r="G35">
        <v>909300</v>
      </c>
      <c r="H35">
        <v>1135600</v>
      </c>
      <c r="I35">
        <v>1056400</v>
      </c>
      <c r="J35">
        <v>756900</v>
      </c>
      <c r="K35">
        <v>815200</v>
      </c>
    </row>
    <row r="36" spans="2:13" x14ac:dyDescent="0.3">
      <c r="B36">
        <v>769300</v>
      </c>
      <c r="C36">
        <v>1080400</v>
      </c>
      <c r="D36">
        <v>841000</v>
      </c>
      <c r="E36">
        <v>1038200</v>
      </c>
      <c r="F36">
        <v>904400</v>
      </c>
      <c r="G36">
        <v>804900</v>
      </c>
      <c r="H36">
        <v>755400</v>
      </c>
      <c r="I36">
        <v>771700</v>
      </c>
      <c r="J36">
        <v>808200</v>
      </c>
      <c r="K36">
        <v>936600</v>
      </c>
    </row>
    <row r="37" spans="2:13" x14ac:dyDescent="0.3">
      <c r="B37">
        <v>744100</v>
      </c>
      <c r="C37">
        <v>821800</v>
      </c>
      <c r="D37">
        <v>726800</v>
      </c>
      <c r="E37">
        <v>723100</v>
      </c>
      <c r="F37">
        <v>847300</v>
      </c>
      <c r="G37">
        <v>1275700</v>
      </c>
      <c r="H37">
        <v>791500</v>
      </c>
      <c r="I37">
        <v>937900</v>
      </c>
      <c r="J37">
        <v>905400</v>
      </c>
      <c r="K37">
        <v>829400</v>
      </c>
    </row>
    <row r="38" spans="2:13" x14ac:dyDescent="0.3">
      <c r="B38">
        <v>793400</v>
      </c>
      <c r="C38">
        <v>654000</v>
      </c>
      <c r="D38">
        <v>818100</v>
      </c>
      <c r="E38">
        <v>678100</v>
      </c>
      <c r="F38">
        <v>742900</v>
      </c>
      <c r="G38">
        <v>883400</v>
      </c>
      <c r="H38">
        <v>995600</v>
      </c>
      <c r="I38">
        <v>884600</v>
      </c>
      <c r="J38">
        <v>661600</v>
      </c>
      <c r="K38">
        <v>805100</v>
      </c>
    </row>
    <row r="39" spans="2:13" x14ac:dyDescent="0.3">
      <c r="B39">
        <v>687400</v>
      </c>
      <c r="C39">
        <v>822500</v>
      </c>
      <c r="D39">
        <v>711800</v>
      </c>
      <c r="E39">
        <v>937200</v>
      </c>
      <c r="F39">
        <v>853100</v>
      </c>
      <c r="G39">
        <v>1060900</v>
      </c>
      <c r="H39">
        <v>1660300</v>
      </c>
      <c r="I39">
        <v>1143600</v>
      </c>
      <c r="J39">
        <v>798500</v>
      </c>
      <c r="K39">
        <v>1097100</v>
      </c>
      <c r="M39" t="s">
        <v>88</v>
      </c>
    </row>
    <row r="40" spans="2:13" x14ac:dyDescent="0.3">
      <c r="B40">
        <v>983100</v>
      </c>
      <c r="C40">
        <v>771200</v>
      </c>
      <c r="D40">
        <v>892900</v>
      </c>
      <c r="E40">
        <v>897800</v>
      </c>
      <c r="F40">
        <v>1013600</v>
      </c>
      <c r="G40">
        <v>728600</v>
      </c>
      <c r="H40">
        <v>785600</v>
      </c>
      <c r="I40">
        <v>685000</v>
      </c>
      <c r="J40">
        <v>687500</v>
      </c>
      <c r="K40">
        <v>842300</v>
      </c>
    </row>
    <row r="41" spans="2:13" x14ac:dyDescent="0.3">
      <c r="B41" s="1">
        <f>AVERAGE(B31:B40)</f>
        <v>983300</v>
      </c>
      <c r="C41" s="1">
        <f>AVERAGE(C31:C40)</f>
        <v>999640</v>
      </c>
      <c r="D41" s="1">
        <f>AVERAGE(D31:D40)</f>
        <v>1012820</v>
      </c>
      <c r="E41" s="1">
        <f>AVERAGE(E31:E40)</f>
        <v>1107450</v>
      </c>
      <c r="F41" s="1">
        <f>AVERAGE(F31:F40)</f>
        <v>1081450</v>
      </c>
      <c r="G41" s="1">
        <f>AVERAGE(G31:G40)</f>
        <v>1246780</v>
      </c>
      <c r="H41" s="1">
        <f>AVERAGE(H31:H40)</f>
        <v>1130100</v>
      </c>
      <c r="I41" s="1">
        <f>AVERAGE(I31:I40)</f>
        <v>1030020</v>
      </c>
      <c r="J41" s="1">
        <f>AVERAGE(J31:J40)</f>
        <v>980650</v>
      </c>
      <c r="K41" s="1">
        <f>AVERAGE(K31:K40)</f>
        <v>1095840</v>
      </c>
    </row>
    <row r="42" spans="2:13" x14ac:dyDescent="0.3">
      <c r="B42">
        <f>_xlfn.STDEV.S(B31:B40)</f>
        <v>561808.34019362077</v>
      </c>
      <c r="C42">
        <f>_xlfn.STDEV.S(C31:C40)</f>
        <v>579443.35203902563</v>
      </c>
      <c r="D42">
        <f>_xlfn.STDEV.S(D31:D40)</f>
        <v>544931.35102812108</v>
      </c>
      <c r="E42">
        <f>_xlfn.STDEV.S(E31:E40)</f>
        <v>744691.49055908457</v>
      </c>
      <c r="F42">
        <f>_xlfn.STDEV.S(F31:F40)</f>
        <v>669092.54176417517</v>
      </c>
      <c r="G42">
        <f>_xlfn.STDEV.S(G31:G40)</f>
        <v>950473.56477354665</v>
      </c>
      <c r="H42">
        <f>_xlfn.STDEV.S(H31:H40)</f>
        <v>661908.61571334419</v>
      </c>
      <c r="I42">
        <f>_xlfn.STDEV.S(I31:I40)</f>
        <v>598704.48989649501</v>
      </c>
      <c r="J42">
        <f>_xlfn.STDEV.S(J31:J40)</f>
        <v>722643.48094724794</v>
      </c>
      <c r="K42">
        <f>_xlfn.STDEV.S(K31:K40)</f>
        <v>769794.79401259194</v>
      </c>
    </row>
    <row r="45" spans="2:13" x14ac:dyDescent="0.3">
      <c r="B45">
        <v>500</v>
      </c>
      <c r="C45">
        <v>1095840</v>
      </c>
      <c r="D45">
        <v>769794.79399999999</v>
      </c>
    </row>
    <row r="46" spans="2:13" x14ac:dyDescent="0.3">
      <c r="B46">
        <v>450</v>
      </c>
      <c r="C46">
        <v>980650</v>
      </c>
      <c r="D46">
        <v>722643.48100000003</v>
      </c>
    </row>
    <row r="47" spans="2:13" x14ac:dyDescent="0.3">
      <c r="B47">
        <v>400</v>
      </c>
      <c r="C47">
        <v>1030020</v>
      </c>
      <c r="D47">
        <v>598704.49</v>
      </c>
    </row>
    <row r="48" spans="2:13" x14ac:dyDescent="0.3">
      <c r="B48">
        <v>350</v>
      </c>
      <c r="C48">
        <v>1130100</v>
      </c>
      <c r="D48">
        <v>661908.61600000004</v>
      </c>
    </row>
    <row r="49" spans="2:4" x14ac:dyDescent="0.3">
      <c r="B49">
        <v>300</v>
      </c>
      <c r="C49">
        <v>1246780</v>
      </c>
      <c r="D49">
        <v>950473.56499999994</v>
      </c>
    </row>
    <row r="50" spans="2:4" x14ac:dyDescent="0.3">
      <c r="B50">
        <v>250</v>
      </c>
      <c r="C50">
        <v>1081450</v>
      </c>
      <c r="D50">
        <v>669092.54200000002</v>
      </c>
    </row>
    <row r="51" spans="2:4" x14ac:dyDescent="0.3">
      <c r="B51">
        <v>200</v>
      </c>
      <c r="C51">
        <v>1107450</v>
      </c>
      <c r="D51">
        <v>744691.49100000004</v>
      </c>
    </row>
    <row r="52" spans="2:4" x14ac:dyDescent="0.3">
      <c r="B52">
        <v>150</v>
      </c>
      <c r="C52">
        <v>1012820</v>
      </c>
      <c r="D52">
        <v>544931.35100000002</v>
      </c>
    </row>
    <row r="53" spans="2:4" x14ac:dyDescent="0.3">
      <c r="B53">
        <v>100</v>
      </c>
      <c r="C53">
        <v>999640</v>
      </c>
      <c r="D53">
        <v>579443.35199999996</v>
      </c>
    </row>
    <row r="54" spans="2:4" x14ac:dyDescent="0.3">
      <c r="B54" s="1">
        <v>50</v>
      </c>
      <c r="C54">
        <v>983300</v>
      </c>
      <c r="D54">
        <v>561808.34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Fuentes</dc:creator>
  <cp:lastModifiedBy>Alejandro Fuentes</cp:lastModifiedBy>
  <dcterms:created xsi:type="dcterms:W3CDTF">2024-03-12T23:06:53Z</dcterms:created>
  <dcterms:modified xsi:type="dcterms:W3CDTF">2024-03-13T04:50:33Z</dcterms:modified>
</cp:coreProperties>
</file>